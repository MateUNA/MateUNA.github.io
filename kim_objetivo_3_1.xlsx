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m 3.1" sheetId="1" state="visible" r:id="rId3"/>
    <sheet name="Resumen por te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<sst xmlns="http://schemas.openxmlformats.org/spreadsheetml/2006/main" count="108" uniqueCount="91">
  <si>
    <t xml:space="preserve">ID</t>
  </si>
  <si>
    <t xml:space="preserve">Objetivo</t>
  </si>
  <si>
    <t xml:space="preserve">Categoria</t>
  </si>
  <si>
    <t xml:space="preserve">Elementos</t>
  </si>
  <si>
    <t xml:space="preserve">Dificultad</t>
  </si>
  <si>
    <t xml:space="preserve">Código de tema</t>
  </si>
  <si>
    <t xml:space="preserve">N° de elementos</t>
  </si>
  <si>
    <t xml:space="preserve">KG_31_01</t>
  </si>
  <si>
    <t xml:space="preserve">3.1</t>
  </si>
  <si>
    <t xml:space="preserve">3.1.1 Elementos de una sucesión</t>
  </si>
  <si>
    <t xml:space="preserve">término general; primer término; índice n; término n-ésimo; sucesión finita; sucesión infinita</t>
  </si>
  <si>
    <t xml:space="preserve">KG_31_02</t>
  </si>
  <si>
    <t xml:space="preserve">3.1.1 Tipos de sucesiones</t>
  </si>
  <si>
    <t xml:space="preserve">creciente; decreciente; constante; acotada; alternada; progresión aritmética; progresión geométrica</t>
  </si>
  <si>
    <t xml:space="preserve">KG_31_03</t>
  </si>
  <si>
    <t xml:space="preserve">3.1.2 Vocabulario de aproximación</t>
  </si>
  <si>
    <t xml:space="preserve">valor exacto; valor aproximado; error absoluto; error relativo; truncamiento; redondeo; cifras significativas</t>
  </si>
  <si>
    <t xml:space="preserve">KG_31_04</t>
  </si>
  <si>
    <t xml:space="preserve">3.1.2 Cómo aproximar con un error permitido</t>
  </si>
  <si>
    <t xml:space="preserve">fijar la tolerancia; escoger un método; calcular términos sucesivos; comparar con el término anterior; detenerse cuando el error es menor que la tolerancia</t>
  </si>
  <si>
    <t xml:space="preserve">KG_31_05</t>
  </si>
  <si>
    <t xml:space="preserve">3.1.3 Elementos del polígono inscrito</t>
  </si>
  <si>
    <t xml:space="preserve">circunferencia; polígono regular; vértices sobre la circunferencia; lado; apotema; radio; número de lados</t>
  </si>
  <si>
    <t xml:space="preserve">KG_31_06</t>
  </si>
  <si>
    <t xml:space="preserve">3.1.3 Idea de Arquímedes para el círculo</t>
  </si>
  <si>
    <t xml:space="preserve">inscribir un polígono regular; duplicar el número de lados; calcular el área del polígono; el área se acerca a la del círculo; el área del polígono nunca supera la del círculo; en el límite el área es πr²</t>
  </si>
  <si>
    <t xml:space="preserve">KG_31_07</t>
  </si>
  <si>
    <t xml:space="preserve">3.1.4 Elementos de una fórmula de recurrencia</t>
  </si>
  <si>
    <t xml:space="preserve">valor inicial; fórmula de recurrencia; término anterior; término siguiente; iteración; aproximación</t>
  </si>
  <si>
    <t xml:space="preserve">KG_31_08</t>
  </si>
  <si>
    <t xml:space="preserve">3.1.4 Aproximar un número por recurrencia</t>
  </si>
  <si>
    <t xml:space="preserve">elegir un valor inicial; aplicar la fórmula; calcular el siguiente término; repetir el proceso; comparar términos consecutivos; detenerse cuando la diferencia es pequeña</t>
  </si>
  <si>
    <t xml:space="preserve">KG_31_09</t>
  </si>
  <si>
    <t xml:space="preserve">3.1.5 Idea intuitiva del límite de una sucesión</t>
  </si>
  <si>
    <t xml:space="preserve">los términos se acercan; valor límite; n tiende a infinito; sucesión convergente; sucesión divergente; puede no alcanzar el valor</t>
  </si>
  <si>
    <t xml:space="preserve">KG_31_10</t>
  </si>
  <si>
    <t xml:space="preserve">3.1.5 Convergencia y divergencia</t>
  </si>
  <si>
    <t xml:space="preserve">converge a un número; diverge a más infinito; diverge a menos infinito; oscila sin límite; el límite es único</t>
  </si>
  <si>
    <t xml:space="preserve">KG_31_11</t>
  </si>
  <si>
    <t xml:space="preserve">3.1.6 Lectura gráfica de una sucesión</t>
  </si>
  <si>
    <t xml:space="preserve">puntos aislados; eje n; eje aₙ; recta horizontal; los puntos se acercan a la recta y = L; el valor L está en el eje vertical</t>
  </si>
  <si>
    <t xml:space="preserve">KG_31_12</t>
  </si>
  <si>
    <t xml:space="preserve">3.1.6 Qué se ve cuando no hay límite</t>
  </si>
  <si>
    <t xml:space="preserve">los puntos crecen sin parar; los puntos decrecen sin parar; los puntos saltan entre dos zonas; no hay recta horizontal a la que se acerquen</t>
  </si>
  <si>
    <t xml:space="preserve">KG_31_13</t>
  </si>
  <si>
    <t xml:space="preserve">3.1.7 Pasos para un cociente de polinomios en n</t>
  </si>
  <si>
    <t xml:space="preserve">identificar la mayor potencia de n; dividir numerador y denominador entre ella; los términos 1/n tienden a 0; calcular el límite que queda; escribir el resultado</t>
  </si>
  <si>
    <t xml:space="preserve">KG_31_14</t>
  </si>
  <si>
    <t xml:space="preserve">3.1.7 Casos según el grado</t>
  </si>
  <si>
    <t xml:space="preserve">grados iguales; menor grado arriba; mayor grado arriba; coeficientes principales; límite cero; límite infinito</t>
  </si>
  <si>
    <t xml:space="preserve">KG_31_15</t>
  </si>
  <si>
    <t xml:space="preserve">3.1.7 Casos de la razón en rⁿ</t>
  </si>
  <si>
    <t xml:space="preserve">razón entre −1 y 1; razón mayor que 1; razón igual a 1; razón menor o igual que −1</t>
  </si>
  <si>
    <t xml:space="preserve">KG_31_16</t>
  </si>
  <si>
    <t xml:space="preserve">3.1.7 Límites con raíces</t>
  </si>
  <si>
    <t xml:space="preserve">indeterminación ∞ − ∞; conjugado; multiplicar y dividir; diferencia de cuadrados; simplificar; dividir entre n</t>
  </si>
  <si>
    <t xml:space="preserve">KG_31_17</t>
  </si>
  <si>
    <t xml:space="preserve">3.1.8 Sucesiones importantes</t>
  </si>
  <si>
    <t xml:space="preserve">progresión aritmética; progresión geométrica; sucesión de Fibonacci; sucesión que converge al número e; sucesión armónica 1/n; sucesión alternada</t>
  </si>
  <si>
    <t xml:space="preserve">KG_31_18</t>
  </si>
  <si>
    <t xml:space="preserve">3.1.8 Aplicaciones de las sucesiones</t>
  </si>
  <si>
    <t xml:space="preserve">interés compuesto; crecimiento de una población; desintegración radiactiva; depreciación de un bien; aproximación de π; razón áurea con Fibonacci</t>
  </si>
  <si>
    <t xml:space="preserve">Sets de Kim Game del objetivo 3.1 (Sucesiones) - MateUNA Mate I</t>
  </si>
  <si>
    <t xml:space="preserve">Código</t>
  </si>
  <si>
    <t xml:space="preserve">Tema</t>
  </si>
  <si>
    <t xml:space="preserve">N° de sets</t>
  </si>
  <si>
    <t xml:space="preserve">Dificultad promedio</t>
  </si>
  <si>
    <t xml:space="preserve">Total de elementos</t>
  </si>
  <si>
    <t xml:space="preserve">3.1.1</t>
  </si>
  <si>
    <t xml:space="preserve">Sucesiones</t>
  </si>
  <si>
    <t xml:space="preserve">3.1.2</t>
  </si>
  <si>
    <t xml:space="preserve">Aproximaciones</t>
  </si>
  <si>
    <t xml:space="preserve">3.1.3</t>
  </si>
  <si>
    <t xml:space="preserve">Aproximación del área del círculo por polígonos inscritos</t>
  </si>
  <si>
    <t xml:space="preserve">3.1.4</t>
  </si>
  <si>
    <t xml:space="preserve">Aproximación de números por fórmulas de recurrencia</t>
  </si>
  <si>
    <t xml:space="preserve">3.1.5</t>
  </si>
  <si>
    <t xml:space="preserve">Idea intuitiva de límites de sucesiones</t>
  </si>
  <si>
    <t xml:space="preserve">3.1.6</t>
  </si>
  <si>
    <t xml:space="preserve">Interpretación gráfica del límite de una sucesión</t>
  </si>
  <si>
    <t xml:space="preserve">3.1.7</t>
  </si>
  <si>
    <t xml:space="preserve">Cálculo de límites de sucesiones</t>
  </si>
  <si>
    <t xml:space="preserve">3.1.8</t>
  </si>
  <si>
    <t xml:space="preserve">Aplicaciones de algunas sucesiones importantes</t>
  </si>
  <si>
    <t xml:space="preserve">Total</t>
  </si>
  <si>
    <t xml:space="preserve">Notas</t>
  </si>
  <si>
    <t xml:space="preserve">• Las columnas A a E de la pestaña 'Kim 3.1' tienen el mismo formato que la pestaña Kim de la hoja MateUNO. Estos 18 sets ya están agregados allí (filas 7 a 24).</t>
  </si>
  <si>
    <t xml:space="preserve">• Las columnas F y G son de apoyo y no existen en MateUNO: F toma el código de tema desde la categoría y G cuenta los elementos (separados por ';').</t>
  </si>
  <si>
    <t xml:space="preserve">• Dificultad: 1 = vocabulario, 2 = procedimientos, 3 = técnicas avanzadas (límites con raíces). Es un criterio mío y se puede ajustar.</t>
  </si>
  <si>
    <t xml:space="preserve">• El contenido se armó a partir del título de cada tema, no del libro de la materia. Conviene revisar los elementos de 3.1.4 y 3.1.8 contra el texto oficial.</t>
  </si>
  <si>
    <t xml:space="preserve">• Los elementos no llevan comas: el juego usa comas para separar lo que escribe el estudiante.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</si>
</sst>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1B4B"/>
        <bgColor rgb="FF003366"/>
      </patternFill>
    </fill>
    <fill>
      <patternFill patternType="solid">
        <fgColor rgb="FFEEF2FF"/>
        <bgColor rgb="FFE0E7FF"/>
      </patternFill>
    </fill>
    <fill>
      <patternFill patternType="solid">
        <fgColor rgb="FFE0E7FF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70"/>
    <col collapsed="false" customWidth="true" hidden="false" outlineLevel="0" max="5" min="5" style="0" width="11"/>
    <col collapsed="false" customWidth="true" hidden="false" outlineLevel="0" max="7" min="6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3" t="s">
        <v>9</v>
      </c>
      <c r="D2" s="3" t="s">
        <v>10</v>
      </c>
      <c r="E2" s="2" t="n">
        <v>1</v>
      </c>
      <c r="F2" s="2" t="str">
        <f aca="false">LEFT(C2,5)</f>
        <v>3.1.1</v>
      </c>
      <c r="G2" s="2" t="n">
        <f aca="false">LEN(D2)-LEN(SUBSTITUTE(D2,";",""))+1</f>
        <v>6</v>
      </c>
    </row>
    <row r="3" customFormat="false" ht="23.85" hidden="false" customHeight="false" outlineLevel="0" collapsed="false">
      <c r="A3" s="4" t="s">
        <v>11</v>
      </c>
      <c r="B3" s="4" t="s">
        <v>8</v>
      </c>
      <c r="C3" s="5" t="s">
        <v>12</v>
      </c>
      <c r="D3" s="5" t="s">
        <v>13</v>
      </c>
      <c r="E3" s="4" t="n">
        <v>2</v>
      </c>
      <c r="F3" s="4" t="str">
        <f aca="false">LEFT(C3,5)</f>
        <v>3.1.1</v>
      </c>
      <c r="G3" s="4" t="n">
        <f aca="false">LEN(D3)-LEN(SUBSTITUTE(D3,";",""))+1</f>
        <v>7</v>
      </c>
    </row>
    <row r="4" customFormat="false" ht="23.85" hidden="false" customHeight="false" outlineLevel="0" collapsed="false">
      <c r="A4" s="2" t="s">
        <v>14</v>
      </c>
      <c r="B4" s="2" t="s">
        <v>8</v>
      </c>
      <c r="C4" s="3" t="s">
        <v>15</v>
      </c>
      <c r="D4" s="3" t="s">
        <v>16</v>
      </c>
      <c r="E4" s="2" t="n">
        <v>1</v>
      </c>
      <c r="F4" s="2" t="str">
        <f aca="false">LEFT(C4,5)</f>
        <v>3.1.2</v>
      </c>
      <c r="G4" s="2" t="n">
        <f aca="false">LEN(D4)-LEN(SUBSTITUTE(D4,";",""))+1</f>
        <v>7</v>
      </c>
    </row>
    <row r="5" customFormat="false" ht="23.85" hidden="false" customHeight="false" outlineLevel="0" collapsed="false">
      <c r="A5" s="4" t="s">
        <v>17</v>
      </c>
      <c r="B5" s="4" t="s">
        <v>8</v>
      </c>
      <c r="C5" s="5" t="s">
        <v>18</v>
      </c>
      <c r="D5" s="5" t="s">
        <v>19</v>
      </c>
      <c r="E5" s="4" t="n">
        <v>2</v>
      </c>
      <c r="F5" s="4" t="str">
        <f aca="false">LEFT(C5,5)</f>
        <v>3.1.2</v>
      </c>
      <c r="G5" s="4" t="n">
        <f aca="false">LEN(D5)-LEN(SUBSTITUTE(D5,";",""))+1</f>
        <v>5</v>
      </c>
    </row>
    <row r="6" customFormat="false" ht="23.85" hidden="false" customHeight="false" outlineLevel="0" collapsed="false">
      <c r="A6" s="2" t="s">
        <v>20</v>
      </c>
      <c r="B6" s="2" t="s">
        <v>8</v>
      </c>
      <c r="C6" s="3" t="s">
        <v>21</v>
      </c>
      <c r="D6" s="3" t="s">
        <v>22</v>
      </c>
      <c r="E6" s="2" t="n">
        <v>1</v>
      </c>
      <c r="F6" s="2" t="str">
        <f aca="false">LEFT(C6,5)</f>
        <v>3.1.3</v>
      </c>
      <c r="G6" s="2" t="n">
        <f aca="false">LEN(D6)-LEN(SUBSTITUTE(D6,";",""))+1</f>
        <v>7</v>
      </c>
    </row>
    <row r="7" customFormat="false" ht="35.05" hidden="false" customHeight="false" outlineLevel="0" collapsed="false">
      <c r="A7" s="4" t="s">
        <v>23</v>
      </c>
      <c r="B7" s="4" t="s">
        <v>8</v>
      </c>
      <c r="C7" s="5" t="s">
        <v>24</v>
      </c>
      <c r="D7" s="5" t="s">
        <v>25</v>
      </c>
      <c r="E7" s="4" t="n">
        <v>2</v>
      </c>
      <c r="F7" s="4" t="str">
        <f aca="false">LEFT(C7,5)</f>
        <v>3.1.3</v>
      </c>
      <c r="G7" s="4" t="n">
        <f aca="false">LEN(D7)-LEN(SUBSTITUTE(D7,";",""))+1</f>
        <v>6</v>
      </c>
    </row>
    <row r="8" customFormat="false" ht="23.85" hidden="false" customHeight="false" outlineLevel="0" collapsed="false">
      <c r="A8" s="2" t="s">
        <v>26</v>
      </c>
      <c r="B8" s="2" t="s">
        <v>8</v>
      </c>
      <c r="C8" s="3" t="s">
        <v>27</v>
      </c>
      <c r="D8" s="3" t="s">
        <v>28</v>
      </c>
      <c r="E8" s="2" t="n">
        <v>1</v>
      </c>
      <c r="F8" s="2" t="str">
        <f aca="false">LEFT(C8,5)</f>
        <v>3.1.4</v>
      </c>
      <c r="G8" s="2" t="n">
        <f aca="false">LEN(D8)-LEN(SUBSTITUTE(D8,";",""))+1</f>
        <v>6</v>
      </c>
    </row>
    <row r="9" customFormat="false" ht="23.85" hidden="false" customHeight="false" outlineLevel="0" collapsed="false">
      <c r="A9" s="4" t="s">
        <v>29</v>
      </c>
      <c r="B9" s="4" t="s">
        <v>8</v>
      </c>
      <c r="C9" s="5" t="s">
        <v>30</v>
      </c>
      <c r="D9" s="5" t="s">
        <v>31</v>
      </c>
      <c r="E9" s="4" t="n">
        <v>2</v>
      </c>
      <c r="F9" s="4" t="str">
        <f aca="false">LEFT(C9,5)</f>
        <v>3.1.4</v>
      </c>
      <c r="G9" s="4" t="n">
        <f aca="false">LEN(D9)-LEN(SUBSTITUTE(D9,";",""))+1</f>
        <v>6</v>
      </c>
    </row>
    <row r="10" customFormat="false" ht="23.85" hidden="false" customHeight="false" outlineLevel="0" collapsed="false">
      <c r="A10" s="2" t="s">
        <v>32</v>
      </c>
      <c r="B10" s="2" t="s">
        <v>8</v>
      </c>
      <c r="C10" s="3" t="s">
        <v>33</v>
      </c>
      <c r="D10" s="3" t="s">
        <v>34</v>
      </c>
      <c r="E10" s="2" t="n">
        <v>1</v>
      </c>
      <c r="F10" s="2" t="str">
        <f aca="false">LEFT(C10,5)</f>
        <v>3.1.5</v>
      </c>
      <c r="G10" s="2" t="n">
        <f aca="false">LEN(D10)-LEN(SUBSTITUTE(D10,";",""))+1</f>
        <v>6</v>
      </c>
    </row>
    <row r="11" customFormat="false" ht="23.85" hidden="false" customHeight="false" outlineLevel="0" collapsed="false">
      <c r="A11" s="4" t="s">
        <v>35</v>
      </c>
      <c r="B11" s="4" t="s">
        <v>8</v>
      </c>
      <c r="C11" s="5" t="s">
        <v>36</v>
      </c>
      <c r="D11" s="5" t="s">
        <v>37</v>
      </c>
      <c r="E11" s="4" t="n">
        <v>2</v>
      </c>
      <c r="F11" s="4" t="str">
        <f aca="false">LEFT(C11,5)</f>
        <v>3.1.5</v>
      </c>
      <c r="G11" s="4" t="n">
        <f aca="false">LEN(D11)-LEN(SUBSTITUTE(D11,";",""))+1</f>
        <v>5</v>
      </c>
    </row>
    <row r="12" customFormat="false" ht="23.85" hidden="false" customHeight="false" outlineLevel="0" collapsed="false">
      <c r="A12" s="2" t="s">
        <v>38</v>
      </c>
      <c r="B12" s="2" t="s">
        <v>8</v>
      </c>
      <c r="C12" s="3" t="s">
        <v>39</v>
      </c>
      <c r="D12" s="3" t="s">
        <v>40</v>
      </c>
      <c r="E12" s="2" t="n">
        <v>1</v>
      </c>
      <c r="F12" s="2" t="str">
        <f aca="false">LEFT(C12,5)</f>
        <v>3.1.6</v>
      </c>
      <c r="G12" s="2" t="n">
        <f aca="false">LEN(D12)-LEN(SUBSTITUTE(D12,";",""))+1</f>
        <v>6</v>
      </c>
    </row>
    <row r="13" customFormat="false" ht="23.85" hidden="false" customHeight="false" outlineLevel="0" collapsed="false">
      <c r="A13" s="4" t="s">
        <v>41</v>
      </c>
      <c r="B13" s="4" t="s">
        <v>8</v>
      </c>
      <c r="C13" s="5" t="s">
        <v>42</v>
      </c>
      <c r="D13" s="5" t="s">
        <v>43</v>
      </c>
      <c r="E13" s="4" t="n">
        <v>2</v>
      </c>
      <c r="F13" s="4" t="str">
        <f aca="false">LEFT(C13,5)</f>
        <v>3.1.6</v>
      </c>
      <c r="G13" s="4" t="n">
        <f aca="false">LEN(D13)-LEN(SUBSTITUTE(D13,";",""))+1</f>
        <v>4</v>
      </c>
    </row>
    <row r="14" customFormat="false" ht="23.85" hidden="false" customHeight="false" outlineLevel="0" collapsed="false">
      <c r="A14" s="2" t="s">
        <v>44</v>
      </c>
      <c r="B14" s="2" t="s">
        <v>8</v>
      </c>
      <c r="C14" s="3" t="s">
        <v>45</v>
      </c>
      <c r="D14" s="3" t="s">
        <v>46</v>
      </c>
      <c r="E14" s="2" t="n">
        <v>2</v>
      </c>
      <c r="F14" s="2" t="str">
        <f aca="false">LEFT(C14,5)</f>
        <v>3.1.7</v>
      </c>
      <c r="G14" s="2" t="n">
        <f aca="false">LEN(D14)-LEN(SUBSTITUTE(D14,";",""))+1</f>
        <v>5</v>
      </c>
    </row>
    <row r="15" customFormat="false" ht="23.85" hidden="false" customHeight="false" outlineLevel="0" collapsed="false">
      <c r="A15" s="4" t="s">
        <v>47</v>
      </c>
      <c r="B15" s="4" t="s">
        <v>8</v>
      </c>
      <c r="C15" s="5" t="s">
        <v>48</v>
      </c>
      <c r="D15" s="5" t="s">
        <v>49</v>
      </c>
      <c r="E15" s="4" t="n">
        <v>2</v>
      </c>
      <c r="F15" s="4" t="str">
        <f aca="false">LEFT(C15,5)</f>
        <v>3.1.7</v>
      </c>
      <c r="G15" s="4" t="n">
        <f aca="false">LEN(D15)-LEN(SUBSTITUTE(D15,";",""))+1</f>
        <v>6</v>
      </c>
    </row>
    <row r="16" customFormat="false" ht="15" hidden="false" customHeight="false" outlineLevel="0" collapsed="false">
      <c r="A16" s="2" t="s">
        <v>50</v>
      </c>
      <c r="B16" s="2" t="s">
        <v>8</v>
      </c>
      <c r="C16" s="3" t="s">
        <v>51</v>
      </c>
      <c r="D16" s="3" t="s">
        <v>52</v>
      </c>
      <c r="E16" s="2" t="n">
        <v>1</v>
      </c>
      <c r="F16" s="2" t="str">
        <f aca="false">LEFT(C16,5)</f>
        <v>3.1.7</v>
      </c>
      <c r="G16" s="2" t="n">
        <f aca="false">LEN(D16)-LEN(SUBSTITUTE(D16,";",""))+1</f>
        <v>4</v>
      </c>
    </row>
    <row r="17" customFormat="false" ht="23.85" hidden="false" customHeight="false" outlineLevel="0" collapsed="false">
      <c r="A17" s="4" t="s">
        <v>53</v>
      </c>
      <c r="B17" s="4" t="s">
        <v>8</v>
      </c>
      <c r="C17" s="5" t="s">
        <v>54</v>
      </c>
      <c r="D17" s="5" t="s">
        <v>55</v>
      </c>
      <c r="E17" s="4" t="n">
        <v>3</v>
      </c>
      <c r="F17" s="4" t="str">
        <f aca="false">LEFT(C17,5)</f>
        <v>3.1.7</v>
      </c>
      <c r="G17" s="4" t="n">
        <f aca="false">LEN(D17)-LEN(SUBSTITUTE(D17,";",""))+1</f>
        <v>6</v>
      </c>
    </row>
    <row r="18" customFormat="false" ht="23.85" hidden="false" customHeight="false" outlineLevel="0" collapsed="false">
      <c r="A18" s="2" t="s">
        <v>56</v>
      </c>
      <c r="B18" s="2" t="s">
        <v>8</v>
      </c>
      <c r="C18" s="3" t="s">
        <v>57</v>
      </c>
      <c r="D18" s="3" t="s">
        <v>58</v>
      </c>
      <c r="E18" s="2" t="n">
        <v>2</v>
      </c>
      <c r="F18" s="2" t="str">
        <f aca="false">LEFT(C18,5)</f>
        <v>3.1.8</v>
      </c>
      <c r="G18" s="2" t="n">
        <f aca="false">LEN(D18)-LEN(SUBSTITUTE(D18,";",""))+1</f>
        <v>6</v>
      </c>
    </row>
    <row r="19" customFormat="false" ht="23.85" hidden="false" customHeight="false" outlineLevel="0" collapsed="false">
      <c r="A19" s="4" t="s">
        <v>59</v>
      </c>
      <c r="B19" s="4" t="s">
        <v>8</v>
      </c>
      <c r="C19" s="5" t="s">
        <v>60</v>
      </c>
      <c r="D19" s="5" t="s">
        <v>61</v>
      </c>
      <c r="E19" s="4" t="n">
        <v>2</v>
      </c>
      <c r="F19" s="4" t="str">
        <f aca="false">LEFT(C19,5)</f>
        <v>3.1.8</v>
      </c>
      <c r="G19" s="4" t="n">
        <f aca="false">LEN(D19)-LEN(SUBSTITUTE(D19,";",""))+1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62</v>
      </c>
    </row>
    <row r="3" customFormat="false" ht="30" hidden="false" customHeight="true" outlineLevel="0" collapsed="false">
      <c r="A3" s="1" t="s">
        <v>63</v>
      </c>
      <c r="B3" s="1" t="s">
        <v>64</v>
      </c>
      <c r="C3" s="1" t="s">
        <v>65</v>
      </c>
      <c r="D3" s="1" t="s">
        <v>66</v>
      </c>
      <c r="E3" s="1" t="s">
        <v>67</v>
      </c>
    </row>
    <row r="4" customFormat="false" ht="15" hidden="false" customHeight="false" outlineLevel="0" collapsed="false">
      <c r="A4" s="7" t="s">
        <v>68</v>
      </c>
      <c r="B4" s="8" t="s">
        <v>69</v>
      </c>
      <c r="C4" s="7" t="n">
        <f aca="false">COUNTIF('Kim 3.1'!$F$2:$F$19,A4)</f>
        <v>2</v>
      </c>
      <c r="D4" s="9" t="n">
        <f aca="false">IFERROR(AVERAGEIF('Kim 3.1'!$F$2:$F$19,A4,'Kim 3.1'!$E$2:$E$19),0)</f>
        <v>1.5</v>
      </c>
      <c r="E4" s="7" t="n">
        <f aca="false">SUMIF('Kim 3.1'!$F$2:$F$19,A4,'Kim 3.1'!$G$2:$G$19)</f>
        <v>13</v>
      </c>
    </row>
    <row r="5" customFormat="false" ht="15" hidden="false" customHeight="false" outlineLevel="0" collapsed="false">
      <c r="A5" s="7" t="s">
        <v>70</v>
      </c>
      <c r="B5" s="8" t="s">
        <v>71</v>
      </c>
      <c r="C5" s="7" t="n">
        <f aca="false">COUNTIF('Kim 3.1'!$F$2:$F$19,A5)</f>
        <v>2</v>
      </c>
      <c r="D5" s="9" t="n">
        <f aca="false">IFERROR(AVERAGEIF('Kim 3.1'!$F$2:$F$19,A5,'Kim 3.1'!$E$2:$E$19),0)</f>
        <v>1.5</v>
      </c>
      <c r="E5" s="7" t="n">
        <f aca="false">SUMIF('Kim 3.1'!$F$2:$F$19,A5,'Kim 3.1'!$G$2:$G$19)</f>
        <v>12</v>
      </c>
    </row>
    <row r="6" customFormat="false" ht="15" hidden="false" customHeight="false" outlineLevel="0" collapsed="false">
      <c r="A6" s="7" t="s">
        <v>72</v>
      </c>
      <c r="B6" s="8" t="s">
        <v>73</v>
      </c>
      <c r="C6" s="7" t="n">
        <f aca="false">COUNTIF('Kim 3.1'!$F$2:$F$19,A6)</f>
        <v>2</v>
      </c>
      <c r="D6" s="9" t="n">
        <f aca="false">IFERROR(AVERAGEIF('Kim 3.1'!$F$2:$F$19,A6,'Kim 3.1'!$E$2:$E$19),0)</f>
        <v>1.5</v>
      </c>
      <c r="E6" s="7" t="n">
        <f aca="false">SUMIF('Kim 3.1'!$F$2:$F$19,A6,'Kim 3.1'!$G$2:$G$19)</f>
        <v>13</v>
      </c>
    </row>
    <row r="7" customFormat="false" ht="15" hidden="false" customHeight="false" outlineLevel="0" collapsed="false">
      <c r="A7" s="7" t="s">
        <v>74</v>
      </c>
      <c r="B7" s="8" t="s">
        <v>75</v>
      </c>
      <c r="C7" s="7" t="n">
        <f aca="false">COUNTIF('Kim 3.1'!$F$2:$F$19,A7)</f>
        <v>2</v>
      </c>
      <c r="D7" s="9" t="n">
        <f aca="false">IFERROR(AVERAGEIF('Kim 3.1'!$F$2:$F$19,A7,'Kim 3.1'!$E$2:$E$19),0)</f>
        <v>1.5</v>
      </c>
      <c r="E7" s="7" t="n">
        <f aca="false">SUMIF('Kim 3.1'!$F$2:$F$19,A7,'Kim 3.1'!$G$2:$G$19)</f>
        <v>12</v>
      </c>
    </row>
    <row r="8" customFormat="false" ht="15" hidden="false" customHeight="false" outlineLevel="0" collapsed="false">
      <c r="A8" s="7" t="s">
        <v>76</v>
      </c>
      <c r="B8" s="8" t="s">
        <v>77</v>
      </c>
      <c r="C8" s="7" t="n">
        <f aca="false">COUNTIF('Kim 3.1'!$F$2:$F$19,A8)</f>
        <v>2</v>
      </c>
      <c r="D8" s="9" t="n">
        <f aca="false">IFERROR(AVERAGEIF('Kim 3.1'!$F$2:$F$19,A8,'Kim 3.1'!$E$2:$E$19),0)</f>
        <v>1.5</v>
      </c>
      <c r="E8" s="7" t="n">
        <f aca="false">SUMIF('Kim 3.1'!$F$2:$F$19,A8,'Kim 3.1'!$G$2:$G$19)</f>
        <v>11</v>
      </c>
    </row>
    <row r="9" customFormat="false" ht="15" hidden="false" customHeight="false" outlineLevel="0" collapsed="false">
      <c r="A9" s="7" t="s">
        <v>78</v>
      </c>
      <c r="B9" s="8" t="s">
        <v>79</v>
      </c>
      <c r="C9" s="7" t="n">
        <f aca="false">COUNTIF('Kim 3.1'!$F$2:$F$19,A9)</f>
        <v>2</v>
      </c>
      <c r="D9" s="9" t="n">
        <f aca="false">IFERROR(AVERAGEIF('Kim 3.1'!$F$2:$F$19,A9,'Kim 3.1'!$E$2:$E$19),0)</f>
        <v>1.5</v>
      </c>
      <c r="E9" s="7" t="n">
        <f aca="false">SUMIF('Kim 3.1'!$F$2:$F$19,A9,'Kim 3.1'!$G$2:$G$19)</f>
        <v>10</v>
      </c>
    </row>
    <row r="10" customFormat="false" ht="15" hidden="false" customHeight="false" outlineLevel="0" collapsed="false">
      <c r="A10" s="7" t="s">
        <v>80</v>
      </c>
      <c r="B10" s="8" t="s">
        <v>81</v>
      </c>
      <c r="C10" s="7" t="n">
        <f aca="false">COUNTIF('Kim 3.1'!$F$2:$F$19,A10)</f>
        <v>4</v>
      </c>
      <c r="D10" s="9" t="n">
        <f aca="false">IFERROR(AVERAGEIF('Kim 3.1'!$F$2:$F$19,A10,'Kim 3.1'!$E$2:$E$19),0)</f>
        <v>2</v>
      </c>
      <c r="E10" s="7" t="n">
        <f aca="false">SUMIF('Kim 3.1'!$F$2:$F$19,A10,'Kim 3.1'!$G$2:$G$19)</f>
        <v>21</v>
      </c>
    </row>
    <row r="11" customFormat="false" ht="15" hidden="false" customHeight="false" outlineLevel="0" collapsed="false">
      <c r="A11" s="7" t="s">
        <v>82</v>
      </c>
      <c r="B11" s="8" t="s">
        <v>83</v>
      </c>
      <c r="C11" s="7" t="n">
        <f aca="false">COUNTIF('Kim 3.1'!$F$2:$F$19,A11)</f>
        <v>2</v>
      </c>
      <c r="D11" s="9" t="n">
        <f aca="false">IFERROR(AVERAGEIF('Kim 3.1'!$F$2:$F$19,A11,'Kim 3.1'!$E$2:$E$19),0)</f>
        <v>2</v>
      </c>
      <c r="E11" s="7" t="n">
        <f aca="false">SUMIF('Kim 3.1'!$F$2:$F$19,A11,'Kim 3.1'!$G$2:$G$19)</f>
        <v>12</v>
      </c>
    </row>
    <row r="12" customFormat="false" ht="15" hidden="false" customHeight="false" outlineLevel="0" collapsed="false">
      <c r="A12" s="10" t="s">
        <v>84</v>
      </c>
      <c r="B12" s="10"/>
      <c r="C12" s="10" t="n">
        <f aca="false">SUM(C4:C11)</f>
        <v>18</v>
      </c>
      <c r="D12" s="11" t="n">
        <f aca="false">AVERAGE('Kim 3.1'!$E$2:$E$19)</f>
        <v>1.66666666666667</v>
      </c>
      <c r="E12" s="10" t="n">
        <f aca="false">SUM(E4:E11)</f>
        <v>104</v>
      </c>
    </row>
    <row r="14" customFormat="false" ht="15" hidden="false" customHeight="false" outlineLevel="0" collapsed="false">
      <c r="A14" s="12" t="s">
        <v>85</v>
      </c>
    </row>
    <row r="15" customFormat="false" ht="30" hidden="false" customHeight="true" outlineLevel="0" collapsed="false">
      <c r="A15" s="13" t="s">
        <v>86</v>
      </c>
      <c r="B15" s="13"/>
      <c r="C15" s="13"/>
      <c r="D15" s="13"/>
      <c r="E15" s="13"/>
    </row>
    <row r="16" customFormat="false" ht="30" hidden="false" customHeight="true" outlineLevel="0" collapsed="false">
      <c r="A16" s="13" t="s">
        <v>87</v>
      </c>
      <c r="B16" s="13"/>
      <c r="C16" s="13"/>
      <c r="D16" s="13"/>
      <c r="E16" s="13"/>
    </row>
    <row r="17" customFormat="false" ht="30" hidden="false" customHeight="true" outlineLevel="0" collapsed="false">
      <c r="A17" s="13" t="s">
        <v>88</v>
      </c>
      <c r="B17" s="13"/>
      <c r="C17" s="13"/>
      <c r="D17" s="13"/>
      <c r="E17" s="13"/>
    </row>
    <row r="18" customFormat="false" ht="30" hidden="false" customHeight="true" outlineLevel="0" collapsed="false">
      <c r="A18" s="13" t="s">
        <v>89</v>
      </c>
      <c r="B18" s="13"/>
      <c r="C18" s="13"/>
      <c r="D18" s="13"/>
      <c r="E18" s="13"/>
    </row>
    <row r="19" customFormat="false" ht="30" hidden="false" customHeight="true" outlineLevel="0" collapsed="false">
      <c r="A19" s="13" t="s">
        <v>90</v>
      </c>
      <c r="B19" s="13"/>
      <c r="C19" s="13"/>
      <c r="D19" s="13"/>
      <c r="E19" s="13"/>
    </row>
  </sheetData>
  <mergeCells count="5">
    <mergeCell ref="A15:E15"/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2026-10-31T06:59:11Z</dcterms:created>
  <dc:creator>openpyxl</dc:creator>
  <dc:description/>
  <dc:language>en-US</dc:language>
  <cp:lastModifiedBy/>
  <dcterms:modified xsi:type="dcterms:W3CDTF">2026-10-31T06:59:11Z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